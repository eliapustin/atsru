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Лист приёмки" sheetId="2" state="visible" r:id="rId2"/>
    <sheet name="Доп. замечания" sheetId="3" state="visible" r:id="rId3"/>
    <sheet name="Данные от заказчика" sheetId="4" state="visible" r:id="rId4"/>
    <sheet name="Итог" sheetId="5" state="visible" r:id="rId5"/>
  </sheets>
  <definedNames>
    <definedName name="_xlnm._FilterDatabase" localSheetId="1" hidden="1">'Лист приёмки'!$A$3:$H$62</definedName>
    <definedName name="_xlnm.Print_Titles" localSheetId="1">'Лист приёмки'!$3:$3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center" wrapText="1"/>
    </xf>
    <xf numFmtId="0" fontId="2" fillId="4" borderId="1" pivotButton="0" quotePrefix="0" xfId="0"/>
    <xf numFmtId="0" fontId="0" fillId="4" borderId="1" pivotButton="0" quotePrefix="0" xfId="0"/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Лист приёмки сайта aviatechnosoft.ru</t>
        </is>
      </c>
    </row>
    <row r="2">
      <c r="A2" s="2" t="inlineStr">
        <is>
          <t>ООО «АвиаТехноСофт», корпоративный сайт</t>
        </is>
      </c>
    </row>
    <row r="3">
      <c r="A3" s="3" t="inlineStr"/>
    </row>
    <row r="4">
      <c r="A4" s="2" t="inlineStr">
        <is>
          <t>Как заполнять</t>
        </is>
      </c>
    </row>
    <row r="5">
      <c r="A5" s="3" t="inlineStr">
        <is>
          <t>1. Откройте лист «Лист приёмки» и пройдите пункты по порядку.</t>
        </is>
      </c>
    </row>
    <row r="6">
      <c r="A6" s="3" t="inlineStr">
        <is>
          <t>2. Заполняйте только ячейки с жёлтой заливкой.</t>
        </is>
      </c>
    </row>
    <row r="7">
      <c r="A7" s="3" t="inlineStr">
        <is>
          <t>3. В колонке «Оценка» выберите значение из списка:</t>
        </is>
      </c>
    </row>
    <row r="8">
      <c r="A8" s="3" t="inlineStr">
        <is>
          <t xml:space="preserve">     • Принято — всё соответствует ожидаемому результату;</t>
        </is>
      </c>
    </row>
    <row r="9">
      <c r="A9" s="3" t="inlineStr">
        <is>
          <t xml:space="preserve">     • Замечание — есть недочёт, который нужно исправить, но сайт работоспособен;</t>
        </is>
      </c>
    </row>
    <row r="10">
      <c r="A10" s="3" t="inlineStr">
        <is>
          <t xml:space="preserve">     • Критично — ошибка мешает запуску сайта;</t>
        </is>
      </c>
    </row>
    <row r="11">
      <c r="A11" s="3" t="inlineStr">
        <is>
          <t xml:space="preserve">     • Не проверялось — пункт пропущен.</t>
        </is>
      </c>
    </row>
    <row r="12">
      <c r="A12" s="3" t="inlineStr">
        <is>
          <t>4. Для «Замечание» и «Критично» опишите проблему в «Комментарии» и укажите устройство и браузер.</t>
        </is>
      </c>
    </row>
    <row r="13">
      <c r="A13" s="3" t="inlineStr">
        <is>
          <t>5. Замечания, которых нет в списке, запишите на лист «Доп. замечания» (там есть пример заполнения).</t>
        </is>
      </c>
    </row>
    <row r="14">
      <c r="A14" s="3" t="inlineStr">
        <is>
          <t>6. На листе «Данные от заказчика» отметьте, какие материалы вы можете предоставить.</t>
        </is>
      </c>
    </row>
    <row r="15">
      <c r="A15" s="3" t="inlineStr">
        <is>
          <t>7. Лист «Итог» считается автоматически; внизу укажите решение, ФИО и дату.</t>
        </is>
      </c>
    </row>
    <row r="16">
      <c r="A16" s="3" t="inlineStr"/>
    </row>
    <row r="17">
      <c r="A17" s="3" t="inlineStr">
        <is>
          <t>Скриншоты можно прикладывать отдельными файлами, указав в комментарии их имя.</t>
        </is>
      </c>
    </row>
    <row r="19">
      <c r="A19" s="2" t="inlineStr">
        <is>
          <t>Ячейки для заполнения</t>
        </is>
      </c>
    </row>
    <row r="20">
      <c r="A20" s="4" t="inlineStr">
        <is>
          <t>— так выделены ячейки, которые заполняет заказчик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34" customWidth="1" min="4" max="4"/>
    <col width="55" customWidth="1" min="5" max="5"/>
    <col width="16" customWidth="1" min="6" max="6"/>
    <col width="45" customWidth="1" min="7" max="7"/>
    <col width="22" customWidth="1" min="8" max="8"/>
  </cols>
  <sheetData>
    <row r="1">
      <c r="A1" s="2" t="inlineStr">
        <is>
          <t>Проверил (ФИО):</t>
        </is>
      </c>
      <c r="B1" s="5" t="inlineStr"/>
      <c r="D1" s="2" t="inlineStr">
        <is>
          <t>Дата проверки:</t>
        </is>
      </c>
      <c r="E1" s="5" t="inlineStr"/>
    </row>
    <row r="3">
      <c r="A3" s="6" t="inlineStr">
        <is>
          <t>№</t>
        </is>
      </c>
      <c r="B3" s="6" t="inlineStr">
        <is>
          <t>Раздел</t>
        </is>
      </c>
      <c r="C3" s="6" t="inlineStr">
        <is>
          <t>Страница / где проверять</t>
        </is>
      </c>
      <c r="D3" s="6" t="inlineStr">
        <is>
          <t>Что проверить</t>
        </is>
      </c>
      <c r="E3" s="6" t="inlineStr">
        <is>
          <t>Ожидаемый результат</t>
        </is>
      </c>
      <c r="F3" s="6" t="inlineStr">
        <is>
          <t>Оценка</t>
        </is>
      </c>
      <c r="G3" s="6" t="inlineStr">
        <is>
          <t>Комментарий заказчика</t>
        </is>
      </c>
      <c r="H3" s="6" t="inlineStr">
        <is>
          <t>Устройство / браузер</t>
        </is>
      </c>
    </row>
    <row r="4">
      <c r="A4" s="7" t="inlineStr">
        <is>
          <t>Общее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9" t="n">
        <v>1</v>
      </c>
      <c r="B5" s="9" t="inlineStr">
        <is>
          <t>Общее</t>
        </is>
      </c>
      <c r="C5" s="9" t="inlineStr">
        <is>
          <t>Все страницы</t>
        </is>
      </c>
      <c r="D5" s="9" t="inlineStr">
        <is>
          <t>Состав сайта соответствует ТЗ</t>
        </is>
      </c>
      <c r="E5" s="9" t="inlineStr">
        <is>
          <t>Есть все разделы: Главная, Продукты (5 страниц), Для образования, Как закупить, Документы, О компании, Контакты, Оборудование и компоненты, Новости</t>
        </is>
      </c>
      <c r="F5" s="10" t="n"/>
      <c r="G5" s="10" t="n"/>
      <c r="H5" s="10" t="n"/>
    </row>
    <row r="6">
      <c r="A6" s="9" t="n">
        <v>2</v>
      </c>
      <c r="B6" s="9" t="inlineStr">
        <is>
          <t>Общее</t>
        </is>
      </c>
      <c r="C6" s="9" t="inlineStr">
        <is>
          <t>Все страницы</t>
        </is>
      </c>
      <c r="D6" s="9" t="inlineStr">
        <is>
          <t>Шапка и главное меню</t>
        </is>
      </c>
      <c r="E6" s="9" t="inlineStr">
        <is>
          <t>Логотип ведёт на главную, все пункты меню открывают нужные страницы, текущий раздел выделен</t>
        </is>
      </c>
      <c r="F6" s="10" t="n"/>
      <c r="G6" s="10" t="n"/>
      <c r="H6" s="10" t="n"/>
    </row>
    <row r="7">
      <c r="A7" s="9" t="n">
        <v>3</v>
      </c>
      <c r="B7" s="9" t="inlineStr">
        <is>
          <t>Общее</t>
        </is>
      </c>
      <c r="C7" s="9" t="inlineStr">
        <is>
          <t>Все страницы</t>
        </is>
      </c>
      <c r="D7" s="9" t="inlineStr">
        <is>
          <t>Подвал сайта</t>
        </is>
      </c>
      <c r="E7" s="9" t="inlineStr">
        <is>
          <t>Контакты, ссылки на разделы и копирайт актуальны</t>
        </is>
      </c>
      <c r="F7" s="10" t="n"/>
      <c r="G7" s="10" t="n"/>
      <c r="H7" s="10" t="n"/>
    </row>
    <row r="8">
      <c r="A8" s="9" t="n">
        <v>4</v>
      </c>
      <c r="B8" s="9" t="inlineStr">
        <is>
          <t>Общее</t>
        </is>
      </c>
      <c r="C8" s="9" t="inlineStr">
        <is>
          <t>Все страницы</t>
        </is>
      </c>
      <c r="D8" s="9" t="inlineStr">
        <is>
          <t>Фирменный стиль</t>
        </is>
      </c>
      <c r="E8" s="9" t="inlineStr">
        <is>
          <t>Логотип, цвета, шрифты и оформление соответствуют стилю компании и едины на всех страницах</t>
        </is>
      </c>
      <c r="F8" s="10" t="n"/>
      <c r="G8" s="10" t="n"/>
      <c r="H8" s="10" t="n"/>
    </row>
    <row r="9">
      <c r="A9" s="9" t="n">
        <v>5</v>
      </c>
      <c r="B9" s="9" t="inlineStr">
        <is>
          <t>Общее</t>
        </is>
      </c>
      <c r="C9" s="9" t="inlineStr">
        <is>
          <t>Все страницы</t>
        </is>
      </c>
      <c r="D9" s="9" t="inlineStr">
        <is>
          <t>Тексты</t>
        </is>
      </c>
      <c r="E9" s="9" t="inlineStr">
        <is>
          <t>Нет опечаток, ошибок и устаревших сведений; формулировки согласованы</t>
        </is>
      </c>
      <c r="F9" s="10" t="n"/>
      <c r="G9" s="10" t="n"/>
      <c r="H9" s="10" t="n"/>
    </row>
    <row r="10">
      <c r="A10" s="9" t="n">
        <v>6</v>
      </c>
      <c r="B10" s="9" t="inlineStr">
        <is>
          <t>Общее</t>
        </is>
      </c>
      <c r="C10" s="9" t="inlineStr">
        <is>
          <t>Все страницы</t>
        </is>
      </c>
      <c r="D10" s="9" t="inlineStr">
        <is>
          <t>Изображения и видео</t>
        </is>
      </c>
      <c r="E10" s="9" t="inlineStr">
        <is>
          <t>Изображения чёткие, соответствуют продуктам; видео воспроизводится</t>
        </is>
      </c>
      <c r="F10" s="10" t="n"/>
      <c r="G10" s="10" t="n"/>
      <c r="H10" s="10" t="n"/>
    </row>
    <row r="11">
      <c r="A11" s="9" t="n">
        <v>7</v>
      </c>
      <c r="B11" s="9" t="inlineStr">
        <is>
          <t>Общее</t>
        </is>
      </c>
      <c r="C11" s="9" t="inlineStr">
        <is>
          <t>Все страницы</t>
        </is>
      </c>
      <c r="D11" s="9" t="inlineStr">
        <is>
          <t>Ссылки и кнопки</t>
        </is>
      </c>
      <c r="E11" s="9" t="inlineStr">
        <is>
          <t>Нет «битых» ссылок; все кнопки выполняют ожидаемое действие</t>
        </is>
      </c>
      <c r="F11" s="10" t="n"/>
      <c r="G11" s="10" t="n"/>
      <c r="H11" s="10" t="n"/>
    </row>
    <row r="12">
      <c r="A12" s="9" t="n">
        <v>8</v>
      </c>
      <c r="B12" s="9" t="inlineStr">
        <is>
          <t>Общее</t>
        </is>
      </c>
      <c r="C12" s="9" t="inlineStr">
        <is>
          <t>https://aviatechnosoft.ru/несуществующая-страница/</t>
        </is>
      </c>
      <c r="D12" s="9" t="inlineStr">
        <is>
          <t>Страница 404</t>
        </is>
      </c>
      <c r="E12" s="9" t="inlineStr">
        <is>
          <t>Показывается оформленная страница «не найдено» со ссылкой на главную</t>
        </is>
      </c>
      <c r="F12" s="10" t="n"/>
      <c r="G12" s="10" t="n"/>
      <c r="H12" s="10" t="n"/>
    </row>
    <row r="13">
      <c r="A13" s="9" t="n">
        <v>9</v>
      </c>
      <c r="B13" s="9" t="inlineStr">
        <is>
          <t>Общее</t>
        </is>
      </c>
      <c r="C13" s="9" t="inlineStr">
        <is>
          <t>Все страницы</t>
        </is>
      </c>
      <c r="D13" s="9" t="inlineStr">
        <is>
          <t>Заголовки вкладок браузера</t>
        </is>
      </c>
      <c r="E13" s="9" t="inlineStr">
        <is>
          <t>У каждой страницы понятный заголовок во вкладке</t>
        </is>
      </c>
      <c r="F13" s="10" t="n"/>
      <c r="G13" s="10" t="n"/>
      <c r="H13" s="10" t="n"/>
    </row>
    <row r="14">
      <c r="A14" s="7" t="inlineStr">
        <is>
          <t>Главная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9" t="n">
        <v>10</v>
      </c>
      <c r="B15" s="9" t="inlineStr">
        <is>
          <t>Главная</t>
        </is>
      </c>
      <c r="C15" s="9" t="inlineStr">
        <is>
          <t>https://aviatechnosoft.ru/</t>
        </is>
      </c>
      <c r="D15" s="9" t="inlineStr">
        <is>
          <t>Первый экран</t>
        </is>
      </c>
      <c r="E15" s="9" t="inlineStr">
        <is>
          <t>Понятно, чем занимается компания; есть кнопки заявки</t>
        </is>
      </c>
      <c r="F15" s="10" t="n"/>
      <c r="G15" s="10" t="n"/>
      <c r="H15" s="10" t="n"/>
    </row>
    <row r="16">
      <c r="A16" s="9" t="n">
        <v>11</v>
      </c>
      <c r="B16" s="9" t="inlineStr">
        <is>
          <t>Главная</t>
        </is>
      </c>
      <c r="C16" s="9" t="inlineStr">
        <is>
          <t>https://aviatechnosoft.ru/</t>
        </is>
      </c>
      <c r="D16" s="9" t="inlineStr">
        <is>
          <t>Блок «Решения для практического обучения БПЛА»</t>
        </is>
      </c>
      <c r="E16" s="9" t="inlineStr">
        <is>
          <t>Показаны все 5 продуктов, ссылки ведут на их страницы</t>
        </is>
      </c>
      <c r="F16" s="10" t="n"/>
      <c r="G16" s="10" t="n"/>
      <c r="H16" s="10" t="n"/>
    </row>
    <row r="17">
      <c r="A17" s="9" t="n">
        <v>12</v>
      </c>
      <c r="B17" s="9" t="inlineStr">
        <is>
          <t>Главная</t>
        </is>
      </c>
      <c r="C17" s="9" t="inlineStr">
        <is>
          <t>https://aviatechnosoft.ru/</t>
        </is>
      </c>
      <c r="D17" s="9" t="inlineStr">
        <is>
          <t>Блок «Какая задача стоит перед вами?»</t>
        </is>
      </c>
      <c r="E17" s="9" t="inlineStr">
        <is>
          <t>Варианты задач описаны верно, кнопки открывают нужные формы</t>
        </is>
      </c>
      <c r="F17" s="10" t="n"/>
      <c r="G17" s="10" t="n"/>
      <c r="H17" s="10" t="n"/>
    </row>
    <row r="18">
      <c r="A18" s="9" t="n">
        <v>13</v>
      </c>
      <c r="B18" s="9" t="inlineStr">
        <is>
          <t>Главная</t>
        </is>
      </c>
      <c r="C18" s="9" t="inlineStr">
        <is>
          <t>https://aviatechnosoft.ru/</t>
        </is>
      </c>
      <c r="D18" s="9" t="inlineStr">
        <is>
          <t>Блок «Класс БПЛА под вашу образовательную программу»</t>
        </is>
      </c>
      <c r="E18" s="9" t="inlineStr">
        <is>
          <t>Описание корректно, кнопка «Рассчитать класс» открывает форму</t>
        </is>
      </c>
      <c r="F18" s="10" t="n"/>
      <c r="G18" s="10" t="n"/>
      <c r="H18" s="10" t="n"/>
    </row>
    <row r="19">
      <c r="A19" s="9" t="n">
        <v>14</v>
      </c>
      <c r="B19" s="9" t="inlineStr">
        <is>
          <t>Главная</t>
        </is>
      </c>
      <c r="C19" s="9" t="inlineStr">
        <is>
          <t>https://aviatechnosoft.ru/</t>
        </is>
      </c>
      <c r="D19" s="9" t="inlineStr">
        <is>
          <t>Блок «От задачи до занятий»</t>
        </is>
      </c>
      <c r="E19" s="9" t="inlineStr">
        <is>
          <t>Этапы работы с клиентом описаны верно</t>
        </is>
      </c>
      <c r="F19" s="10" t="n"/>
      <c r="G19" s="10" t="n"/>
      <c r="H19" s="10" t="n"/>
    </row>
    <row r="20">
      <c r="A20" s="9" t="n">
        <v>15</v>
      </c>
      <c r="B20" s="9" t="inlineStr">
        <is>
          <t>Главная</t>
        </is>
      </c>
      <c r="C20" s="9" t="inlineStr">
        <is>
          <t>https://aviatechnosoft.ru/</t>
        </is>
      </c>
      <c r="D20" s="9" t="inlineStr">
        <is>
          <t>Блок «Собственная разработка…»</t>
        </is>
      </c>
      <c r="E20" s="9" t="inlineStr">
        <is>
          <t>Сведения о компании корректны</t>
        </is>
      </c>
      <c r="F20" s="10" t="n"/>
      <c r="G20" s="10" t="n"/>
      <c r="H20" s="10" t="n"/>
    </row>
    <row r="21">
      <c r="A21" s="9" t="n">
        <v>16</v>
      </c>
      <c r="B21" s="9" t="inlineStr">
        <is>
          <t>Главная</t>
        </is>
      </c>
      <c r="C21" s="9" t="inlineStr">
        <is>
          <t>https://aviatechnosoft.ru/</t>
        </is>
      </c>
      <c r="D21" s="9" t="inlineStr">
        <is>
          <t>Блок «Документы для изучения и закупки»</t>
        </is>
      </c>
      <c r="E21" s="9" t="inlineStr">
        <is>
          <t>Перечень документов корректен, кнопки работают</t>
        </is>
      </c>
      <c r="F21" s="10" t="n"/>
      <c r="G21" s="10" t="n"/>
      <c r="H21" s="10" t="n"/>
    </row>
    <row r="22">
      <c r="A22" s="9" t="n">
        <v>17</v>
      </c>
      <c r="B22" s="9" t="inlineStr">
        <is>
          <t>Главная</t>
        </is>
      </c>
      <c r="C22" s="9" t="inlineStr">
        <is>
          <t>https://aviatechnosoft.ru/</t>
        </is>
      </c>
      <c r="D22" s="9" t="inlineStr">
        <is>
          <t>Блок «События и разработки»</t>
        </is>
      </c>
      <c r="E22" s="9" t="inlineStr">
        <is>
          <t>Выводятся последние новости, ссылки открывают новость</t>
        </is>
      </c>
      <c r="F22" s="10" t="n"/>
      <c r="G22" s="10" t="n"/>
      <c r="H22" s="10" t="n"/>
    </row>
    <row r="23">
      <c r="A23" s="7" t="inlineStr">
        <is>
          <t>Продукты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9" t="n">
        <v>18</v>
      </c>
      <c r="B24" s="9" t="inlineStr">
        <is>
          <t>Продукты</t>
        </is>
      </c>
      <c r="C24" s="9" t="inlineStr">
        <is>
          <t>https://aviatechnosoft.ru/product/</t>
        </is>
      </c>
      <c r="D24" s="9" t="inlineStr">
        <is>
          <t>Страница «Продукты»</t>
        </is>
      </c>
      <c r="E24" s="9" t="inlineStr">
        <is>
          <t>Открывается каталог решений и оборудования</t>
        </is>
      </c>
      <c r="F24" s="10" t="n"/>
      <c r="G24" s="10" t="n"/>
      <c r="H24" s="10" t="n"/>
    </row>
    <row r="25">
      <c r="A25" s="9" t="n">
        <v>19</v>
      </c>
      <c r="B25" s="9" t="inlineStr">
        <is>
          <t>Продукты</t>
        </is>
      </c>
      <c r="C25" s="9" t="inlineStr">
        <is>
          <t>https://aviatechnosoft.ru/product/pchelka/</t>
        </is>
      </c>
      <c r="D25" s="9" t="inlineStr">
        <is>
          <t>Учебный комплекс «Пчёлка»</t>
        </is>
      </c>
      <c r="E25" s="9" t="inlineStr">
        <is>
          <t>Описание, состав, возможности и изображения корректны</t>
        </is>
      </c>
      <c r="F25" s="10" t="n"/>
      <c r="G25" s="10" t="n"/>
      <c r="H25" s="10" t="n"/>
    </row>
    <row r="26">
      <c r="A26" s="9" t="n">
        <v>20</v>
      </c>
      <c r="B26" s="9" t="inlineStr">
        <is>
          <t>Продукты</t>
        </is>
      </c>
      <c r="C26" s="9" t="inlineStr">
        <is>
          <t>https://aviatechnosoft.ru/product/constructor/</t>
        </is>
      </c>
      <c r="D26" s="9" t="inlineStr">
        <is>
          <t>Дрон-конструктор</t>
        </is>
      </c>
      <c r="E26" s="9" t="inlineStr">
        <is>
          <t>Описание, возможности и изображения корректны</t>
        </is>
      </c>
      <c r="F26" s="10" t="n"/>
      <c r="G26" s="10" t="n"/>
      <c r="H26" s="10" t="n"/>
    </row>
    <row r="27">
      <c r="A27" s="9" t="n">
        <v>21</v>
      </c>
      <c r="B27" s="9" t="inlineStr">
        <is>
          <t>Продукты</t>
        </is>
      </c>
      <c r="C27" s="9" t="inlineStr">
        <is>
          <t>https://aviatechnosoft.ru/product/lab/</t>
        </is>
      </c>
      <c r="D27" s="9" t="inlineStr">
        <is>
          <t>Лабораторный стенд</t>
        </is>
      </c>
      <c r="E27" s="9" t="inlineStr">
        <is>
          <t>Описание, возможности и изображения корректны</t>
        </is>
      </c>
      <c r="F27" s="10" t="n"/>
      <c r="G27" s="10" t="n"/>
      <c r="H27" s="10" t="n"/>
    </row>
    <row r="28">
      <c r="A28" s="9" t="n">
        <v>22</v>
      </c>
      <c r="B28" s="9" t="inlineStr">
        <is>
          <t>Продукты</t>
        </is>
      </c>
      <c r="C28" s="9" t="inlineStr">
        <is>
          <t>https://aviatechnosoft.ru/product/simulator/</t>
        </is>
      </c>
      <c r="D28" s="9" t="inlineStr">
        <is>
          <t>АТС Симулятор</t>
        </is>
      </c>
      <c r="E28" s="9" t="inlineStr">
        <is>
          <t>Описание корректно; указано, что симулятор — часть учебного комплекса «Пчёлка»</t>
        </is>
      </c>
      <c r="F28" s="10" t="n"/>
      <c r="G28" s="10" t="n"/>
      <c r="H28" s="10" t="n"/>
    </row>
    <row r="29">
      <c r="A29" s="9" t="n">
        <v>23</v>
      </c>
      <c r="B29" s="9" t="inlineStr">
        <is>
          <t>Продукты</t>
        </is>
      </c>
      <c r="C29" s="9" t="inlineStr">
        <is>
          <t>https://aviatechnosoft.ru/product/classroom/</t>
        </is>
      </c>
      <c r="D29" s="9" t="inlineStr">
        <is>
          <t>Класс БПЛА</t>
        </is>
      </c>
      <c r="E29" s="9" t="inlineStr">
        <is>
          <t>Описание корректно, кнопка «Рассчитать класс» открывает форму</t>
        </is>
      </c>
      <c r="F29" s="10" t="n"/>
      <c r="G29" s="10" t="n"/>
      <c r="H29" s="10" t="n"/>
    </row>
    <row r="30">
      <c r="A30" s="9" t="n">
        <v>24</v>
      </c>
      <c r="B30" s="9" t="inlineStr">
        <is>
          <t>Продукты</t>
        </is>
      </c>
      <c r="C30" s="9" t="inlineStr">
        <is>
          <t>Страницы продуктов</t>
        </is>
      </c>
      <c r="D30" s="9" t="inlineStr">
        <is>
          <t>Блок «Другие решения линейки»</t>
        </is>
      </c>
      <c r="E30" s="9" t="inlineStr">
        <is>
          <t>Ссылки ведут на остальные продукты</t>
        </is>
      </c>
      <c r="F30" s="10" t="n"/>
      <c r="G30" s="10" t="n"/>
      <c r="H30" s="10" t="n"/>
    </row>
    <row r="31">
      <c r="A31" s="9" t="n">
        <v>25</v>
      </c>
      <c r="B31" s="9" t="inlineStr">
        <is>
          <t>Продукты</t>
        </is>
      </c>
      <c r="C31" s="9" t="inlineStr">
        <is>
          <t>Страницы продуктов</t>
        </is>
      </c>
      <c r="D31" s="9" t="inlineStr">
        <is>
          <t>Названия и характеристики</t>
        </is>
      </c>
      <c r="E31" s="9" t="inlineStr">
        <is>
          <t>Названия продуктов и технические данные совпадают с официальными</t>
        </is>
      </c>
      <c r="F31" s="10" t="n"/>
      <c r="G31" s="10" t="n"/>
      <c r="H31" s="10" t="n"/>
    </row>
    <row r="32">
      <c r="A32" s="7" t="inlineStr">
        <is>
          <t>Разделы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9" t="n">
        <v>26</v>
      </c>
      <c r="B33" s="9" t="inlineStr">
        <is>
          <t>Разделы</t>
        </is>
      </c>
      <c r="C33" s="9" t="inlineStr">
        <is>
          <t>https://aviatechnosoft.ru/education/</t>
        </is>
      </c>
      <c r="D33" s="9" t="inlineStr">
        <is>
          <t>Для образования</t>
        </is>
      </c>
      <c r="E33" s="9" t="inlineStr">
        <is>
          <t>Программа обучения и темы курса описаны верно</t>
        </is>
      </c>
      <c r="F33" s="10" t="n"/>
      <c r="G33" s="10" t="n"/>
      <c r="H33" s="10" t="n"/>
    </row>
    <row r="34">
      <c r="A34" s="9" t="n">
        <v>27</v>
      </c>
      <c r="B34" s="9" t="inlineStr">
        <is>
          <t>Разделы</t>
        </is>
      </c>
      <c r="C34" s="9" t="inlineStr">
        <is>
          <t>https://aviatechnosoft.ru/procurement/</t>
        </is>
      </c>
      <c r="D34" s="9" t="inlineStr">
        <is>
          <t>Как закупить</t>
        </is>
      </c>
      <c r="E34" s="9" t="inlineStr">
        <is>
          <t>Сведения о закупке по 44-ФЗ, 223-ФЗ и другим способам корректны</t>
        </is>
      </c>
      <c r="F34" s="10" t="n"/>
      <c r="G34" s="10" t="n"/>
      <c r="H34" s="10" t="n"/>
    </row>
    <row r="35">
      <c r="A35" s="9" t="n">
        <v>28</v>
      </c>
      <c r="B35" s="9" t="inlineStr">
        <is>
          <t>Разделы</t>
        </is>
      </c>
      <c r="C35" s="9" t="inlineStr">
        <is>
          <t>https://aviatechnosoft.ru/documents/</t>
        </is>
      </c>
      <c r="D35" s="9" t="inlineStr">
        <is>
          <t>Документы</t>
        </is>
      </c>
      <c r="E35" s="9" t="inlineStr">
        <is>
          <t>Перечень документов (технические описания, спецификации, методические материалы) корректен, запрос документа открывает форму</t>
        </is>
      </c>
      <c r="F35" s="10" t="n"/>
      <c r="G35" s="10" t="n"/>
      <c r="H35" s="10" t="n"/>
    </row>
    <row r="36">
      <c r="A36" s="9" t="n">
        <v>29</v>
      </c>
      <c r="B36" s="9" t="inlineStr">
        <is>
          <t>Разделы</t>
        </is>
      </c>
      <c r="C36" s="9" t="inlineStr">
        <is>
          <t>https://aviatechnosoft.ru/about/</t>
        </is>
      </c>
      <c r="D36" s="9" t="inlineStr">
        <is>
          <t>О компании</t>
        </is>
      </c>
      <c r="E36" s="9" t="inlineStr">
        <is>
          <t>Сведения о компании корректны и актуальны</t>
        </is>
      </c>
      <c r="F36" s="10" t="n"/>
      <c r="G36" s="10" t="n"/>
      <c r="H36" s="10" t="n"/>
    </row>
    <row r="37">
      <c r="A37" s="9" t="n">
        <v>30</v>
      </c>
      <c r="B37" s="9" t="inlineStr">
        <is>
          <t>Разделы</t>
        </is>
      </c>
      <c r="C37" s="9" t="inlineStr">
        <is>
          <t>https://aviatechnosoft.ru/contacts/</t>
        </is>
      </c>
      <c r="D37" s="9" t="inlineStr">
        <is>
          <t>Контакты</t>
        </is>
      </c>
      <c r="E37" s="9" t="inlineStr">
        <is>
          <t>Телефон +7 (987) 499-74-97 и email aviatechnosoft@yandex.ru актуальны, ссылки срабатывают по нажатию</t>
        </is>
      </c>
      <c r="F37" s="10" t="n"/>
      <c r="G37" s="10" t="n"/>
      <c r="H37" s="10" t="n"/>
    </row>
    <row r="38">
      <c r="A38" s="9" t="n">
        <v>31</v>
      </c>
      <c r="B38" s="9" t="inlineStr">
        <is>
          <t>Разделы</t>
        </is>
      </c>
      <c r="C38" s="9" t="inlineStr">
        <is>
          <t>https://aviatechnosoft.ru/equipment/</t>
        </is>
      </c>
      <c r="D38" s="9" t="inlineStr">
        <is>
          <t>Оборудование и компоненты</t>
        </is>
      </c>
      <c r="E38" s="9" t="inlineStr">
        <is>
          <t>Перечень оборудования корректен</t>
        </is>
      </c>
      <c r="F38" s="10" t="n"/>
      <c r="G38" s="10" t="n"/>
      <c r="H38" s="10" t="n"/>
    </row>
    <row r="39">
      <c r="A39" s="7" t="inlineStr">
        <is>
          <t>Новости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9" t="n">
        <v>32</v>
      </c>
      <c r="B40" s="9" t="inlineStr">
        <is>
          <t>Новости</t>
        </is>
      </c>
      <c r="C40" s="9" t="inlineStr">
        <is>
          <t>https://aviatechnosoft.ru/news/</t>
        </is>
      </c>
      <c r="D40" s="9" t="inlineStr">
        <is>
          <t>Список новостей</t>
        </is>
      </c>
      <c r="E40" s="9" t="inlineStr">
        <is>
          <t>Новости выводятся по дате, есть переход на следующие страницы</t>
        </is>
      </c>
      <c r="F40" s="10" t="n"/>
      <c r="G40" s="10" t="n"/>
      <c r="H40" s="10" t="n"/>
    </row>
    <row r="41">
      <c r="A41" s="9" t="n">
        <v>33</v>
      </c>
      <c r="B41" s="9" t="inlineStr">
        <is>
          <t>Новости</t>
        </is>
      </c>
      <c r="C41" s="9" t="inlineStr">
        <is>
          <t>https://aviatechnosoft.ru/news/</t>
        </is>
      </c>
      <c r="D41" s="9" t="inlineStr">
        <is>
          <t>Отдельная новость</t>
        </is>
      </c>
      <c r="E41" s="9" t="inlineStr">
        <is>
          <t>Заголовок, дата, текст и изображения отображаются корректно</t>
        </is>
      </c>
      <c r="F41" s="10" t="n"/>
      <c r="G41" s="10" t="n"/>
      <c r="H41" s="10" t="n"/>
    </row>
    <row r="42">
      <c r="A42" s="9" t="n">
        <v>34</v>
      </c>
      <c r="B42" s="9" t="inlineStr">
        <is>
          <t>Новости</t>
        </is>
      </c>
      <c r="C42" s="9" t="inlineStr">
        <is>
          <t>Админка WordPress</t>
        </is>
      </c>
      <c r="D42" s="9" t="inlineStr">
        <is>
          <t>Добавление новости</t>
        </is>
      </c>
      <c r="E42" s="9" t="inlineStr">
        <is>
          <t>Сотрудник заказчика может сам создать, отредактировать и опубликовать новость</t>
        </is>
      </c>
      <c r="F42" s="10" t="n"/>
      <c r="G42" s="10" t="n"/>
      <c r="H42" s="10" t="n"/>
    </row>
    <row r="43">
      <c r="A43" s="7" t="inlineStr">
        <is>
          <t>Формы заявок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9" t="n">
        <v>35</v>
      </c>
      <c r="B44" s="9" t="inlineStr">
        <is>
          <t>Формы заявок</t>
        </is>
      </c>
      <c r="C44" s="9" t="inlineStr">
        <is>
          <t>Кнопки «Получить КП»</t>
        </is>
      </c>
      <c r="D44" s="9" t="inlineStr">
        <is>
          <t>Форма «Получить КП»</t>
        </is>
      </c>
      <c r="E44" s="9" t="inlineStr">
        <is>
          <t>Форма открывается; есть выбор продукта и отметка «КП для обоснования цены контракта»; заявка отправляется</t>
        </is>
      </c>
      <c r="F44" s="10" t="n"/>
      <c r="G44" s="10" t="n"/>
      <c r="H44" s="10" t="n"/>
    </row>
    <row r="45">
      <c r="A45" s="9" t="n">
        <v>36</v>
      </c>
      <c r="B45" s="9" t="inlineStr">
        <is>
          <t>Формы заявок</t>
        </is>
      </c>
      <c r="C45" s="9" t="inlineStr">
        <is>
          <t>Кнопки «Рассчитать класс»</t>
        </is>
      </c>
      <c r="D45" s="9" t="inlineStr">
        <is>
          <t>Форма «Рассчитать класс»</t>
        </is>
      </c>
      <c r="E45" s="9" t="inlineStr">
        <is>
          <t>Есть поля «Тип учреждения», «Число учащихся», «Срок запуска и бюджет»; заявка отправляется</t>
        </is>
      </c>
      <c r="F45" s="10" t="n"/>
      <c r="G45" s="10" t="n"/>
      <c r="H45" s="10" t="n"/>
    </row>
    <row r="46">
      <c r="A46" s="9" t="n">
        <v>37</v>
      </c>
      <c r="B46" s="9" t="inlineStr">
        <is>
          <t>Формы заявок</t>
        </is>
      </c>
      <c r="C46" s="9" t="inlineStr">
        <is>
          <t>Кнопки «Запросить демонстрацию»</t>
        </is>
      </c>
      <c r="D46" s="9" t="inlineStr">
        <is>
          <t>Форма «Запросить демонстрацию»</t>
        </is>
      </c>
      <c r="E46" s="9" t="inlineStr">
        <is>
          <t>Есть выбор формата (онлайн / очно / обсудить); заявка отправляется</t>
        </is>
      </c>
      <c r="F46" s="10" t="n"/>
      <c r="G46" s="10" t="n"/>
      <c r="H46" s="10" t="n"/>
    </row>
    <row r="47">
      <c r="A47" s="9" t="n">
        <v>38</v>
      </c>
      <c r="B47" s="9" t="inlineStr">
        <is>
          <t>Формы заявок</t>
        </is>
      </c>
      <c r="C47" s="9" t="inlineStr">
        <is>
          <t>Кнопки «Получить документацию»</t>
        </is>
      </c>
      <c r="D47" s="9" t="inlineStr">
        <is>
          <t>Форма «Получить документацию»</t>
        </is>
      </c>
      <c r="E47" s="9" t="inlineStr">
        <is>
          <t>Название документа подставляется автоматически, поле контакта принимает только email; заявка отправляется</t>
        </is>
      </c>
      <c r="F47" s="10" t="n"/>
      <c r="G47" s="10" t="n"/>
      <c r="H47" s="10" t="n"/>
    </row>
    <row r="48">
      <c r="A48" s="9" t="n">
        <v>39</v>
      </c>
      <c r="B48" s="9" t="inlineStr">
        <is>
          <t>Формы заявок</t>
        </is>
      </c>
      <c r="C48" s="9" t="inlineStr">
        <is>
          <t>Все формы</t>
        </is>
      </c>
      <c r="D48" s="9" t="inlineStr">
        <is>
          <t>Получение писем</t>
        </is>
      </c>
      <c r="E48" s="9" t="inlineStr">
        <is>
          <t>Письмо по каждой заявке приходит на корпоративную почту и содержит все заполненные поля и тип заявки</t>
        </is>
      </c>
      <c r="F48" s="10" t="n"/>
      <c r="G48" s="10" t="n"/>
      <c r="H48" s="10" t="n"/>
    </row>
    <row r="49">
      <c r="A49" s="9" t="n">
        <v>40</v>
      </c>
      <c r="B49" s="9" t="inlineStr">
        <is>
          <t>Формы заявок</t>
        </is>
      </c>
      <c r="C49" s="9" t="inlineStr">
        <is>
          <t>Все формы</t>
        </is>
      </c>
      <c r="D49" s="9" t="inlineStr">
        <is>
          <t>Проверка заполнения</t>
        </is>
      </c>
      <c r="E49" s="9" t="inlineStr">
        <is>
          <t>При пустых обязательных полях или без согласия на обработку данных показывается понятная подсказка</t>
        </is>
      </c>
      <c r="F49" s="10" t="n"/>
      <c r="G49" s="10" t="n"/>
      <c r="H49" s="10" t="n"/>
    </row>
    <row r="50">
      <c r="A50" s="9" t="n">
        <v>41</v>
      </c>
      <c r="B50" s="9" t="inlineStr">
        <is>
          <t>Формы заявок</t>
        </is>
      </c>
      <c r="C50" s="9" t="inlineStr">
        <is>
          <t>Все формы</t>
        </is>
      </c>
      <c r="D50" s="9" t="inlineStr">
        <is>
          <t>Сообщение после отправки</t>
        </is>
      </c>
      <c r="E50" s="9" t="inlineStr">
        <is>
          <t>После отправки появляется сообщение об успехе; форма закрывается кнопкой × и клавишей Esc</t>
        </is>
      </c>
      <c r="F50" s="10" t="n"/>
      <c r="G50" s="10" t="n"/>
      <c r="H50" s="10" t="n"/>
    </row>
    <row r="51">
      <c r="A51" s="7" t="inlineStr">
        <is>
          <t>Устройства и браузеры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9" t="n">
        <v>42</v>
      </c>
      <c r="B52" s="9" t="inlineStr">
        <is>
          <t>Устройства и браузеры</t>
        </is>
      </c>
      <c r="C52" s="9" t="inlineStr">
        <is>
          <t>Все страницы</t>
        </is>
      </c>
      <c r="D52" s="9" t="inlineStr">
        <is>
          <t>Телефон (ширина ~390 px)</t>
        </is>
      </c>
      <c r="E52" s="9" t="inlineStr">
        <is>
          <t>Текст читается без увеличения, нет горизонтальной прокрутки, кнопки удобно нажимать</t>
        </is>
      </c>
      <c r="F52" s="10" t="n"/>
      <c r="G52" s="10" t="n"/>
      <c r="H52" s="10" t="n"/>
    </row>
    <row r="53">
      <c r="A53" s="9" t="n">
        <v>43</v>
      </c>
      <c r="B53" s="9" t="inlineStr">
        <is>
          <t>Устройства и браузеры</t>
        </is>
      </c>
      <c r="C53" s="9" t="inlineStr">
        <is>
          <t>Все страницы</t>
        </is>
      </c>
      <c r="D53" s="9" t="inlineStr">
        <is>
          <t>Мобильное меню</t>
        </is>
      </c>
      <c r="E53" s="9" t="inlineStr">
        <is>
          <t>Меню открывается и закрывается, все пункты доступны</t>
        </is>
      </c>
      <c r="F53" s="10" t="n"/>
      <c r="G53" s="10" t="n"/>
      <c r="H53" s="10" t="n"/>
    </row>
    <row r="54">
      <c r="A54" s="9" t="n">
        <v>44</v>
      </c>
      <c r="B54" s="9" t="inlineStr">
        <is>
          <t>Устройства и браузеры</t>
        </is>
      </c>
      <c r="C54" s="9" t="inlineStr">
        <is>
          <t>Все страницы</t>
        </is>
      </c>
      <c r="D54" s="9" t="inlineStr">
        <is>
          <t>Планшет</t>
        </is>
      </c>
      <c r="E54" s="9" t="inlineStr">
        <is>
          <t>Страницы отображаются корректно</t>
        </is>
      </c>
      <c r="F54" s="10" t="n"/>
      <c r="G54" s="10" t="n"/>
      <c r="H54" s="10" t="n"/>
    </row>
    <row r="55">
      <c r="A55" s="9" t="n">
        <v>45</v>
      </c>
      <c r="B55" s="9" t="inlineStr">
        <is>
          <t>Устройства и браузеры</t>
        </is>
      </c>
      <c r="C55" s="9" t="inlineStr">
        <is>
          <t>Все страницы</t>
        </is>
      </c>
      <c r="D55" s="9" t="inlineStr">
        <is>
          <t>Компьютер (ширина ~1440 px)</t>
        </is>
      </c>
      <c r="E55" s="9" t="inlineStr">
        <is>
          <t>Страницы отображаются корректно</t>
        </is>
      </c>
      <c r="F55" s="10" t="n"/>
      <c r="G55" s="10" t="n"/>
      <c r="H55" s="10" t="n"/>
    </row>
    <row r="56">
      <c r="A56" s="9" t="n">
        <v>46</v>
      </c>
      <c r="B56" s="9" t="inlineStr">
        <is>
          <t>Устройства и браузеры</t>
        </is>
      </c>
      <c r="C56" s="9" t="inlineStr">
        <is>
          <t>Все страницы</t>
        </is>
      </c>
      <c r="D56" s="9" t="inlineStr">
        <is>
          <t>Браузеры</t>
        </is>
      </c>
      <c r="E56" s="9" t="inlineStr">
        <is>
          <t>Сайт корректно работает в Яндекс Браузере, Chrome, Firefox, Safari и Edge</t>
        </is>
      </c>
      <c r="F56" s="10" t="n"/>
      <c r="G56" s="10" t="n"/>
      <c r="H56" s="10" t="n"/>
    </row>
    <row r="57">
      <c r="A57" s="9" t="n">
        <v>47</v>
      </c>
      <c r="B57" s="9" t="inlineStr">
        <is>
          <t>Устройства и браузеры</t>
        </is>
      </c>
      <c r="C57" s="9" t="inlineStr">
        <is>
          <t>Все страницы</t>
        </is>
      </c>
      <c r="D57" s="9" t="inlineStr">
        <is>
          <t>Скорость загрузки</t>
        </is>
      </c>
      <c r="E57" s="9" t="inlineStr">
        <is>
          <t>Страницы открываются быстро, в том числе через мобильный интернет</t>
        </is>
      </c>
      <c r="F57" s="10" t="n"/>
      <c r="G57" s="10" t="n"/>
      <c r="H57" s="10" t="n"/>
    </row>
    <row r="58">
      <c r="A58" s="7" t="inlineStr">
        <is>
          <t>Юридические и служебные сведения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9" t="n">
        <v>48</v>
      </c>
      <c r="B59" s="9" t="inlineStr">
        <is>
          <t>Юридические и служебные сведения</t>
        </is>
      </c>
      <c r="C59" s="9" t="inlineStr">
        <is>
          <t>Все формы</t>
        </is>
      </c>
      <c r="D59" s="9" t="inlineStr">
        <is>
          <t>Согласие на обработку персональных данных</t>
        </is>
      </c>
      <c r="E59" s="9" t="inlineStr">
        <is>
          <t>Есть отметка согласия и ссылка на утверждённый текст политики (сейчас текст не добавлен — ждёт заказчика)</t>
        </is>
      </c>
      <c r="F59" s="10" t="n"/>
      <c r="G59" s="10" t="n"/>
      <c r="H59" s="10" t="n"/>
    </row>
    <row r="60">
      <c r="A60" s="9" t="n">
        <v>49</v>
      </c>
      <c r="B60" s="9" t="inlineStr">
        <is>
          <t>Юридические и служебные сведения</t>
        </is>
      </c>
      <c r="C60" s="9" t="inlineStr">
        <is>
          <t>Все страницы</t>
        </is>
      </c>
      <c r="D60" s="9" t="inlineStr">
        <is>
          <t>Политика обработки персональных данных</t>
        </is>
      </c>
      <c r="E60" s="9" t="inlineStr">
        <is>
          <t>Опубликована страница с утверждённым текстом (152-ФЗ)</t>
        </is>
      </c>
      <c r="F60" s="10" t="n"/>
      <c r="G60" s="10" t="n"/>
      <c r="H60" s="10" t="n"/>
    </row>
    <row r="61">
      <c r="A61" s="9" t="n">
        <v>50</v>
      </c>
      <c r="B61" s="9" t="inlineStr">
        <is>
          <t>Юридические и служебные сведения</t>
        </is>
      </c>
      <c r="C61" s="9" t="inlineStr">
        <is>
          <t>Все страницы</t>
        </is>
      </c>
      <c r="D61" s="9" t="inlineStr">
        <is>
          <t>Реквизиты компании</t>
        </is>
      </c>
      <c r="E61" s="9" t="inlineStr">
        <is>
          <t>Реквизиты указаны и верны (после предоставления заказчиком)</t>
        </is>
      </c>
      <c r="F61" s="10" t="n"/>
      <c r="G61" s="10" t="n"/>
      <c r="H61" s="10" t="n"/>
    </row>
    <row r="62">
      <c r="A62" s="9" t="n">
        <v>51</v>
      </c>
      <c r="B62" s="9" t="inlineStr">
        <is>
          <t>Юридические и служебные сведения</t>
        </is>
      </c>
      <c r="C62" s="9" t="inlineStr">
        <is>
          <t>Все страницы</t>
        </is>
      </c>
      <c r="D62" s="9" t="inlineStr">
        <is>
          <t>Защищённое соединение</t>
        </is>
      </c>
      <c r="E62" s="9" t="inlineStr">
        <is>
          <t>Сайт открывается по https, браузер не показывает предупреждений</t>
        </is>
      </c>
      <c r="F62" s="10" t="n"/>
      <c r="G62" s="10" t="n"/>
      <c r="H62" s="10" t="n"/>
    </row>
  </sheetData>
  <autoFilter ref="A3:H62"/>
  <mergeCells count="9">
    <mergeCell ref="A4:H4"/>
    <mergeCell ref="A39:H39"/>
    <mergeCell ref="A43:H43"/>
    <mergeCell ref="A51:H51"/>
    <mergeCell ref="A32:H32"/>
    <mergeCell ref="A14:H14"/>
    <mergeCell ref="A23:H23"/>
    <mergeCell ref="B1:C1"/>
    <mergeCell ref="A58:H58"/>
  </mergeCells>
  <conditionalFormatting sqref="F4:F62">
    <cfRule type="expression" priority="1" dxfId="0">
      <formula>$F4="Принято"</formula>
    </cfRule>
    <cfRule type="expression" priority="2" dxfId="1">
      <formula>$F4="Замечание"</formula>
    </cfRule>
    <cfRule type="expression" priority="3" dxfId="2">
      <formula>$F4="Критично"</formula>
    </cfRule>
  </conditionalFormatting>
  <dataValidations count="1">
    <dataValidation sqref="F4:F62" showDropDown="0" showInputMessage="0" showErrorMessage="0" allowBlank="1" error="Выберите значение из списка" type="list">
      <formula1>"Принято,Замечание,Критично,Не проверялось"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0" customWidth="1" min="3" max="3"/>
    <col width="16" customWidth="1" min="4" max="4"/>
    <col width="22" customWidth="1" min="5" max="5"/>
    <col width="26" customWidth="1" min="6" max="6"/>
  </cols>
  <sheetData>
    <row r="1">
      <c r="A1" s="6" t="inlineStr">
        <is>
          <t>№</t>
        </is>
      </c>
      <c r="B1" s="6" t="inlineStr">
        <is>
          <t>Страница (адрес)</t>
        </is>
      </c>
      <c r="C1" s="6" t="inlineStr">
        <is>
          <t>Описание проблемы или пожелания</t>
        </is>
      </c>
      <c r="D1" s="6" t="inlineStr">
        <is>
          <t>Важность</t>
        </is>
      </c>
      <c r="E1" s="6" t="inlineStr">
        <is>
          <t>Устройство / браузер</t>
        </is>
      </c>
      <c r="F1" s="6" t="inlineStr">
        <is>
          <t>Скриншот (имя файла)</t>
        </is>
      </c>
    </row>
    <row r="2">
      <c r="A2" s="11" t="inlineStr">
        <is>
          <t>Пример</t>
        </is>
      </c>
      <c r="B2" s="11" t="inlineStr">
        <is>
          <t>https://aviatechnosoft.ru/contacts/</t>
        </is>
      </c>
      <c r="C2" s="11" t="inlineStr">
        <is>
          <t>Хотим добавить карту проезда к офису</t>
        </is>
      </c>
      <c r="D2" s="11" t="inlineStr">
        <is>
          <t>Замечание</t>
        </is>
      </c>
      <c r="E2" s="11" t="inlineStr">
        <is>
          <t>iPhone 13, Safari</t>
        </is>
      </c>
      <c r="F2" s="11" t="inlineStr">
        <is>
          <t>contacts-map.png</t>
        </is>
      </c>
    </row>
    <row r="3">
      <c r="A3" s="9" t="n">
        <v>1</v>
      </c>
      <c r="B3" s="10" t="n"/>
      <c r="C3" s="10" t="n"/>
      <c r="D3" s="10" t="n"/>
      <c r="E3" s="10" t="n"/>
      <c r="F3" s="10" t="n"/>
    </row>
    <row r="4">
      <c r="A4" s="9" t="n">
        <v>2</v>
      </c>
      <c r="B4" s="10" t="n"/>
      <c r="C4" s="10" t="n"/>
      <c r="D4" s="10" t="n"/>
      <c r="E4" s="10" t="n"/>
      <c r="F4" s="10" t="n"/>
    </row>
    <row r="5">
      <c r="A5" s="9" t="n">
        <v>3</v>
      </c>
      <c r="B5" s="10" t="n"/>
      <c r="C5" s="10" t="n"/>
      <c r="D5" s="10" t="n"/>
      <c r="E5" s="10" t="n"/>
      <c r="F5" s="10" t="n"/>
    </row>
    <row r="6">
      <c r="A6" s="9" t="n">
        <v>4</v>
      </c>
      <c r="B6" s="10" t="n"/>
      <c r="C6" s="10" t="n"/>
      <c r="D6" s="10" t="n"/>
      <c r="E6" s="10" t="n"/>
      <c r="F6" s="10" t="n"/>
    </row>
    <row r="7">
      <c r="A7" s="9" t="n">
        <v>5</v>
      </c>
      <c r="B7" s="10" t="n"/>
      <c r="C7" s="10" t="n"/>
      <c r="D7" s="10" t="n"/>
      <c r="E7" s="10" t="n"/>
      <c r="F7" s="10" t="n"/>
    </row>
    <row r="8">
      <c r="A8" s="9" t="n">
        <v>6</v>
      </c>
      <c r="B8" s="10" t="n"/>
      <c r="C8" s="10" t="n"/>
      <c r="D8" s="10" t="n"/>
      <c r="E8" s="10" t="n"/>
      <c r="F8" s="10" t="n"/>
    </row>
    <row r="9">
      <c r="A9" s="9" t="n">
        <v>7</v>
      </c>
      <c r="B9" s="10" t="n"/>
      <c r="C9" s="10" t="n"/>
      <c r="D9" s="10" t="n"/>
      <c r="E9" s="10" t="n"/>
      <c r="F9" s="10" t="n"/>
    </row>
    <row r="10">
      <c r="A10" s="9" t="n">
        <v>8</v>
      </c>
      <c r="B10" s="10" t="n"/>
      <c r="C10" s="10" t="n"/>
      <c r="D10" s="10" t="n"/>
      <c r="E10" s="10" t="n"/>
      <c r="F10" s="10" t="n"/>
    </row>
    <row r="11">
      <c r="A11" s="9" t="n">
        <v>9</v>
      </c>
      <c r="B11" s="10" t="n"/>
      <c r="C11" s="10" t="n"/>
      <c r="D11" s="10" t="n"/>
      <c r="E11" s="10" t="n"/>
      <c r="F11" s="10" t="n"/>
    </row>
    <row r="12">
      <c r="A12" s="9" t="n">
        <v>10</v>
      </c>
      <c r="B12" s="10" t="n"/>
      <c r="C12" s="10" t="n"/>
      <c r="D12" s="10" t="n"/>
      <c r="E12" s="10" t="n"/>
      <c r="F12" s="10" t="n"/>
    </row>
    <row r="13">
      <c r="A13" s="9" t="n">
        <v>11</v>
      </c>
      <c r="B13" s="10" t="n"/>
      <c r="C13" s="10" t="n"/>
      <c r="D13" s="10" t="n"/>
      <c r="E13" s="10" t="n"/>
      <c r="F13" s="10" t="n"/>
    </row>
    <row r="14">
      <c r="A14" s="9" t="n">
        <v>12</v>
      </c>
      <c r="B14" s="10" t="n"/>
      <c r="C14" s="10" t="n"/>
      <c r="D14" s="10" t="n"/>
      <c r="E14" s="10" t="n"/>
      <c r="F14" s="10" t="n"/>
    </row>
    <row r="15">
      <c r="A15" s="9" t="n">
        <v>13</v>
      </c>
      <c r="B15" s="10" t="n"/>
      <c r="C15" s="10" t="n"/>
      <c r="D15" s="10" t="n"/>
      <c r="E15" s="10" t="n"/>
      <c r="F15" s="10" t="n"/>
    </row>
    <row r="16">
      <c r="A16" s="9" t="n">
        <v>14</v>
      </c>
      <c r="B16" s="10" t="n"/>
      <c r="C16" s="10" t="n"/>
      <c r="D16" s="10" t="n"/>
      <c r="E16" s="10" t="n"/>
      <c r="F16" s="10" t="n"/>
    </row>
    <row r="17">
      <c r="A17" s="9" t="n">
        <v>15</v>
      </c>
      <c r="B17" s="10" t="n"/>
      <c r="C17" s="10" t="n"/>
      <c r="D17" s="10" t="n"/>
      <c r="E17" s="10" t="n"/>
      <c r="F17" s="10" t="n"/>
    </row>
    <row r="18">
      <c r="A18" s="9" t="n">
        <v>16</v>
      </c>
      <c r="B18" s="10" t="n"/>
      <c r="C18" s="10" t="n"/>
      <c r="D18" s="10" t="n"/>
      <c r="E18" s="10" t="n"/>
      <c r="F18" s="10" t="n"/>
    </row>
    <row r="19">
      <c r="A19" s="9" t="n">
        <v>17</v>
      </c>
      <c r="B19" s="10" t="n"/>
      <c r="C19" s="10" t="n"/>
      <c r="D19" s="10" t="n"/>
      <c r="E19" s="10" t="n"/>
      <c r="F19" s="10" t="n"/>
    </row>
    <row r="20">
      <c r="A20" s="9" t="n">
        <v>18</v>
      </c>
      <c r="B20" s="10" t="n"/>
      <c r="C20" s="10" t="n"/>
      <c r="D20" s="10" t="n"/>
      <c r="E20" s="10" t="n"/>
      <c r="F20" s="10" t="n"/>
    </row>
    <row r="21">
      <c r="A21" s="9" t="n">
        <v>19</v>
      </c>
      <c r="B21" s="10" t="n"/>
      <c r="C21" s="10" t="n"/>
      <c r="D21" s="10" t="n"/>
      <c r="E21" s="10" t="n"/>
      <c r="F21" s="10" t="n"/>
    </row>
    <row r="22">
      <c r="A22" s="9" t="n">
        <v>20</v>
      </c>
      <c r="B22" s="10" t="n"/>
      <c r="C22" s="10" t="n"/>
      <c r="D22" s="10" t="n"/>
      <c r="E22" s="10" t="n"/>
      <c r="F22" s="10" t="n"/>
    </row>
    <row r="23">
      <c r="A23" s="9" t="n">
        <v>21</v>
      </c>
      <c r="B23" s="10" t="n"/>
      <c r="C23" s="10" t="n"/>
      <c r="D23" s="10" t="n"/>
      <c r="E23" s="10" t="n"/>
      <c r="F23" s="10" t="n"/>
    </row>
    <row r="24">
      <c r="A24" s="9" t="n">
        <v>22</v>
      </c>
      <c r="B24" s="10" t="n"/>
      <c r="C24" s="10" t="n"/>
      <c r="D24" s="10" t="n"/>
      <c r="E24" s="10" t="n"/>
      <c r="F24" s="10" t="n"/>
    </row>
    <row r="25">
      <c r="A25" s="9" t="n">
        <v>23</v>
      </c>
      <c r="B25" s="10" t="n"/>
      <c r="C25" s="10" t="n"/>
      <c r="D25" s="10" t="n"/>
      <c r="E25" s="10" t="n"/>
      <c r="F25" s="10" t="n"/>
    </row>
    <row r="26">
      <c r="A26" s="9" t="n">
        <v>24</v>
      </c>
      <c r="B26" s="10" t="n"/>
      <c r="C26" s="10" t="n"/>
      <c r="D26" s="10" t="n"/>
      <c r="E26" s="10" t="n"/>
      <c r="F26" s="10" t="n"/>
    </row>
    <row r="27">
      <c r="A27" s="9" t="n">
        <v>25</v>
      </c>
      <c r="B27" s="10" t="n"/>
      <c r="C27" s="10" t="n"/>
      <c r="D27" s="10" t="n"/>
      <c r="E27" s="10" t="n"/>
      <c r="F27" s="10" t="n"/>
    </row>
    <row r="28">
      <c r="A28" s="9" t="n">
        <v>26</v>
      </c>
      <c r="B28" s="10" t="n"/>
      <c r="C28" s="10" t="n"/>
      <c r="D28" s="10" t="n"/>
      <c r="E28" s="10" t="n"/>
      <c r="F28" s="10" t="n"/>
    </row>
    <row r="29">
      <c r="A29" s="9" t="n">
        <v>27</v>
      </c>
      <c r="B29" s="10" t="n"/>
      <c r="C29" s="10" t="n"/>
      <c r="D29" s="10" t="n"/>
      <c r="E29" s="10" t="n"/>
      <c r="F29" s="10" t="n"/>
    </row>
    <row r="30">
      <c r="A30" s="9" t="n">
        <v>28</v>
      </c>
      <c r="B30" s="10" t="n"/>
      <c r="C30" s="10" t="n"/>
      <c r="D30" s="10" t="n"/>
      <c r="E30" s="10" t="n"/>
      <c r="F30" s="10" t="n"/>
    </row>
    <row r="31">
      <c r="A31" s="9" t="n">
        <v>29</v>
      </c>
      <c r="B31" s="10" t="n"/>
      <c r="C31" s="10" t="n"/>
      <c r="D31" s="10" t="n"/>
      <c r="E31" s="10" t="n"/>
      <c r="F31" s="10" t="n"/>
    </row>
    <row r="32">
      <c r="A32" s="9" t="n">
        <v>30</v>
      </c>
      <c r="B32" s="10" t="n"/>
      <c r="C32" s="10" t="n"/>
      <c r="D32" s="10" t="n"/>
      <c r="E32" s="10" t="n"/>
      <c r="F32" s="10" t="n"/>
    </row>
  </sheetData>
  <dataValidations count="1">
    <dataValidation sqref="D3:D32" showDropDown="0" showInputMessage="0" showErrorMessage="0" allowBlank="1" type="list">
      <formula1>"Замечание,Критично,Пожелание"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5" customWidth="1" min="3" max="3"/>
    <col width="18" customWidth="1" min="4" max="4"/>
    <col width="45" customWidth="1" min="5" max="5"/>
  </cols>
  <sheetData>
    <row r="1">
      <c r="A1" s="6" t="inlineStr">
        <is>
          <t>№</t>
        </is>
      </c>
      <c r="B1" s="6" t="inlineStr">
        <is>
          <t>Материал</t>
        </is>
      </c>
      <c r="C1" s="6" t="inlineStr">
        <is>
          <t>Где используется</t>
        </is>
      </c>
      <c r="D1" s="6" t="inlineStr">
        <is>
          <t>Статус</t>
        </is>
      </c>
      <c r="E1" s="6" t="inlineStr">
        <is>
          <t>Комментарий заказчика</t>
        </is>
      </c>
    </row>
    <row r="2">
      <c r="A2" s="9" t="n">
        <v>1</v>
      </c>
      <c r="B2" s="9" t="inlineStr">
        <is>
          <t>Текст политики обработки персональных данных</t>
        </is>
      </c>
      <c r="C2" s="9" t="inlineStr">
        <is>
          <t>Формы заявок, отдельная страница политики</t>
        </is>
      </c>
      <c r="D2" s="10" t="n"/>
      <c r="E2" s="10" t="n"/>
    </row>
    <row r="3">
      <c r="A3" s="9" t="n">
        <v>2</v>
      </c>
      <c r="B3" s="9" t="inlineStr">
        <is>
          <t>Реквизиты компании (ИНН, ОГРН, юридический адрес)</t>
        </is>
      </c>
      <c r="C3" s="9" t="inlineStr">
        <is>
          <t>Подвал, страница «О компании», «Контакты»</t>
        </is>
      </c>
      <c r="D3" s="10" t="n"/>
      <c r="E3" s="10" t="n"/>
    </row>
    <row r="4">
      <c r="A4" s="9" t="n">
        <v>3</v>
      </c>
      <c r="B4" s="9" t="inlineStr">
        <is>
          <t>Цены или порядок их запроса</t>
        </is>
      </c>
      <c r="C4" s="9" t="inlineStr">
        <is>
          <t>Страницы продуктов, «Как закупить»</t>
        </is>
      </c>
      <c r="D4" s="10" t="n"/>
      <c r="E4" s="10" t="n"/>
    </row>
    <row r="5">
      <c r="A5" s="9" t="n">
        <v>4</v>
      </c>
      <c r="B5" s="9" t="inlineStr">
        <is>
          <t>Составы комплектов продуктов</t>
        </is>
      </c>
      <c r="C5" s="9" t="inlineStr">
        <is>
          <t>Страницы продуктов</t>
        </is>
      </c>
      <c r="D5" s="10" t="n"/>
      <c r="E5" s="10" t="n"/>
    </row>
    <row r="6">
      <c r="A6" s="9" t="n">
        <v>5</v>
      </c>
      <c r="B6" s="9" t="inlineStr">
        <is>
          <t>Сведения о включении в реестры (реестр ПО, реестр российской продукции и т. п.)</t>
        </is>
      </c>
      <c r="C6" s="9" t="inlineStr">
        <is>
          <t>Страницы продуктов, «Как закупить», «Документы»</t>
        </is>
      </c>
      <c r="D6" s="10" t="n"/>
      <c r="E6" s="10" t="n"/>
    </row>
    <row r="7">
      <c r="A7" s="9" t="n">
        <v>6</v>
      </c>
      <c r="B7" s="9" t="inlineStr">
        <is>
          <t>Документы для скачивания или отправки по запросу</t>
        </is>
      </c>
      <c r="C7" s="9" t="inlineStr">
        <is>
          <t>Страница «Документы»</t>
        </is>
      </c>
      <c r="D7" s="10" t="n"/>
      <c r="E7" s="10" t="n"/>
    </row>
    <row r="8">
      <c r="A8" s="9" t="n">
        <v>7</v>
      </c>
      <c r="B8" s="9" t="inlineStr">
        <is>
          <t>Кейсы внедрения (не менее двух согласованных)</t>
        </is>
      </c>
      <c r="C8" s="9" t="inlineStr">
        <is>
          <t>Раздел кейсов (скрыт до появления материалов)</t>
        </is>
      </c>
      <c r="D8" s="10" t="n"/>
      <c r="E8" s="10" t="n"/>
    </row>
    <row r="9">
      <c r="A9" s="9" t="n">
        <v>8</v>
      </c>
      <c r="B9" s="9" t="inlineStr">
        <is>
          <t>Email для получения заявок с сайта</t>
        </is>
      </c>
      <c r="C9" s="9" t="inlineStr">
        <is>
          <t>Настройка отправки форм</t>
        </is>
      </c>
      <c r="D9" s="10" t="n"/>
      <c r="E9" s="10" t="n"/>
    </row>
    <row r="10">
      <c r="A10" s="9" t="n">
        <v>9</v>
      </c>
      <c r="B10" s="9" t="inlineStr">
        <is>
          <t>Фотографии и видео продуктов (при необходимости замены)</t>
        </is>
      </c>
      <c r="C10" s="9" t="inlineStr">
        <is>
          <t>Главная, страницы продуктов</t>
        </is>
      </c>
      <c r="D10" s="10" t="n"/>
      <c r="E10" s="10" t="n"/>
    </row>
  </sheetData>
  <dataValidations count="1">
    <dataValidation sqref="D2:D10" showDropDown="0" showInputMessage="0" showErrorMessage="0" allowBlank="1" type="list">
      <formula1>"Предоставим,Уже передано,Не требуется"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Итог приёмки сайта</t>
        </is>
      </c>
    </row>
    <row r="3">
      <c r="A3" s="12" t="inlineStr">
        <is>
          <t>Оценка</t>
        </is>
      </c>
      <c r="B3" s="12" t="inlineStr">
        <is>
          <t>Пунктов</t>
        </is>
      </c>
      <c r="C3" s="12" t="inlineStr">
        <is>
          <t>Доля</t>
        </is>
      </c>
    </row>
    <row r="4">
      <c r="A4" s="13" t="inlineStr">
        <is>
          <t>Принято</t>
        </is>
      </c>
      <c r="B4" s="13">
        <f>COUNTIF('Лист приёмки'!$F$4:$F$62,A4)</f>
        <v/>
      </c>
      <c r="C4" s="14">
        <f>IF($B$9=0,0,B4/$B$9)</f>
        <v/>
      </c>
    </row>
    <row r="5">
      <c r="A5" s="13" t="inlineStr">
        <is>
          <t>Замечание</t>
        </is>
      </c>
      <c r="B5" s="13">
        <f>COUNTIF('Лист приёмки'!$F$4:$F$62,A5)</f>
        <v/>
      </c>
      <c r="C5" s="14">
        <f>IF($B$9=0,0,B5/$B$9)</f>
        <v/>
      </c>
    </row>
    <row r="6">
      <c r="A6" s="13" t="inlineStr">
        <is>
          <t>Критично</t>
        </is>
      </c>
      <c r="B6" s="13">
        <f>COUNTIF('Лист приёмки'!$F$4:$F$62,A6)</f>
        <v/>
      </c>
      <c r="C6" s="14">
        <f>IF($B$9=0,0,B6/$B$9)</f>
        <v/>
      </c>
    </row>
    <row r="7">
      <c r="A7" s="13" t="inlineStr">
        <is>
          <t>Не проверялось</t>
        </is>
      </c>
      <c r="B7" s="13">
        <f>COUNTIF('Лист приёмки'!$F$4:$F$62,A7)</f>
        <v/>
      </c>
      <c r="C7" s="14">
        <f>IF($B$9=0,0,B7/$B$9)</f>
        <v/>
      </c>
    </row>
    <row r="8">
      <c r="A8" s="13" t="inlineStr">
        <is>
          <t>Не заполнено</t>
        </is>
      </c>
      <c r="B8" s="13">
        <f>B9-SUM(B4:B7)</f>
        <v/>
      </c>
      <c r="C8" s="14">
        <f>IF($B$9=0,0,B8/$B$9)</f>
        <v/>
      </c>
    </row>
    <row r="9">
      <c r="A9" s="15" t="inlineStr">
        <is>
          <t>Всего пунктов</t>
        </is>
      </c>
      <c r="B9" s="15">
        <f>COUNT('Лист приёмки'!$A$4:$A$62)</f>
        <v/>
      </c>
      <c r="C9" s="16">
        <f>SUM(C4:C8)</f>
        <v/>
      </c>
    </row>
    <row r="10">
      <c r="A10" s="17" t="inlineStr">
        <is>
          <t>Считается автоматически по листу «Лист приёмки».</t>
        </is>
      </c>
    </row>
    <row r="11">
      <c r="A11" s="13" t="inlineStr">
        <is>
          <t>Доп. замечаний записано</t>
        </is>
      </c>
      <c r="B11" s="13">
        <f>COUNTA('Доп. замечания'!C3:C32)</f>
        <v/>
      </c>
    </row>
    <row r="13">
      <c r="A13" s="2" t="inlineStr">
        <is>
          <t>Решение заказчика</t>
        </is>
      </c>
      <c r="B13" s="5" t="n"/>
    </row>
    <row r="14">
      <c r="A14" s="2" t="inlineStr">
        <is>
          <t>ФИО, должность</t>
        </is>
      </c>
      <c r="B14" s="5" t="n"/>
    </row>
    <row r="15">
      <c r="A15" s="2" t="inlineStr">
        <is>
          <t>Дата</t>
        </is>
      </c>
      <c r="B15" s="5" t="n"/>
    </row>
    <row r="16">
      <c r="A16" s="2" t="inlineStr">
        <is>
          <t>Подпись</t>
        </is>
      </c>
      <c r="B16" s="5" t="n"/>
    </row>
  </sheetData>
  <mergeCells count="4">
    <mergeCell ref="B15:E15"/>
    <mergeCell ref="B13:E13"/>
    <mergeCell ref="B14:E14"/>
    <mergeCell ref="B16:E16"/>
  </mergeCells>
  <dataValidations count="1">
    <dataValidation sqref="B13" showDropDown="0" showInputMessage="0" showErrorMessage="0" allowBlank="1" type="list">
      <formula1>"Принять,Принять с замечаниями,Доработать"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2026-10-12T17:54:38Z</dcterms:created>
  <dcterms:modified xsi:type="dcterms:W3CDTF">2026-10-12T17:54:38Z</dcterms:modified>
</cp:coreProperties>
</file>